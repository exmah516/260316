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files\Vessel intervention Robot\260316\"/>
    </mc:Choice>
  </mc:AlternateContent>
  <bookViews>
    <workbookView windowWidth="24750" windowHeight="11900"/>
  </bookViews>
  <sheets>
    <sheet name="填写说明" sheetId="1" r:id="rId1"/>
    <sheet name="关节参数" sheetId="2" r:id="rId2"/>
    <sheet name="几何参数" sheetId="3" r:id="rId3"/>
    <sheet name="导轨与夹具" sheetId="4" r:id="rId4"/>
    <sheet name="校核计算" sheetId="6" r:id="rId5"/>
  </sheets>
  <definedNames>
    <definedName name="_xlnm._FilterDatabase" localSheetId="1" hidden="1">关节参数!$A$3:$R$8</definedName>
    <definedName name="_xlnm._FilterDatabase" localSheetId="2" hidden="1">几何参数!$A$16:$G$23</definedName>
    <definedName name="_xlnm._FilterDatabase" localSheetId="3" hidden="1">导轨与夹具!$A$16:$N$24</definedName>
    <definedName name="_xlnm._FilterDatabase" localSheetId="4" hidden="1">校核计算!$A$4:$F$16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F4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G4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E5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F5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G5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E6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F6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G6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E7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F7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G7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E8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F8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  <comment ref="G8" authorId="0">
      <text>
        <r>
          <rPr>
            <sz val="10"/>
            <rFont val="宋体"/>
            <charset val="134"/>
          </rPr>
          <t>轴向应填写单位向量分量；若只有方向而没有单位化，请在“校核计算”中检查范数。</t>
        </r>
      </text>
    </comment>
  </commentList>
</comments>
</file>

<file path=xl/sharedStrings.xml><?xml version="1.0" encoding="utf-8"?>
<sst xmlns="http://schemas.openxmlformats.org/spreadsheetml/2006/main" count="570" uniqueCount="243">
  <si>
    <t>机器人运动学参数测量模板（SolidWorks名义尺寸版）</t>
  </si>
  <si>
    <t>一、统一约定</t>
  </si>
  <si>
    <t>项目</t>
  </si>
  <si>
    <t>填写规则</t>
  </si>
  <si>
    <t>重要性</t>
  </si>
  <si>
    <t>长度单位</t>
  </si>
  <si>
    <t>统一使用 mm；角度统一使用 deg。SolidWorks 若使用 m 或 inch，请先换算。</t>
  </si>
  <si>
    <t>必填</t>
  </si>
  <si>
    <t>基坐标系 F0</t>
  </si>
  <si>
    <t>建议：X 向右、Y 向前、Z 竖直向上；如果模型已有坐标系，可直接采用模型坐标系，但必须在表中保持一致。</t>
  </si>
  <si>
    <t>零位 q=0</t>
  </si>
  <si>
    <t>把装配体切换到准备作为机械零位/标定零位的构型，再测量所有轴线和点坐标。不要混用不同构型的数据。</t>
  </si>
  <si>
    <t>轴线测量</t>
  </si>
  <si>
    <t>在 SW 中可用临时轴、圆柱面中心线或草图线测量。轴线方向填单位向量；轴线上一点填该轴线上任一点的 F0 坐标。</t>
  </si>
  <si>
    <t>点坐标测量</t>
  </si>
  <si>
    <t>优先在装配体中建立参考点/坐标系，再用“评估 &gt; 测量”读取相对 F0 的坐标。</t>
  </si>
  <si>
    <t>建议</t>
  </si>
  <si>
    <t>轴2/3/4</t>
  </si>
  <si>
    <t>理论上方向为 (0,0,1)，但仍建议从 SW 实际几何读取；轻微安装误差可保留。</t>
  </si>
  <si>
    <t>轴5</t>
  </si>
  <si>
    <t>填零位构型下的真实水平旋转轴方向。不要默认它永远是世界 X 或世界 Y；它可能随上游偏航姿态改变。</t>
  </si>
  <si>
    <t>导轨轴</t>
  </si>
  <si>
    <t>在“导轨与夹具”表中填写导轨局部 +X 方向。s=0 的位置必须明确，后续夹具位置都相对该位置填写。</t>
  </si>
  <si>
    <t>碰撞间隙</t>
  </si>
  <si>
    <t>安全间隙应覆盖 CAD 名义尺寸误差、装配误差、控制跟踪误差和结构挠曲；首版模型可先填一个保守值。</t>
  </si>
  <si>
    <t>二、推荐的 SolidWorks 测量顺序</t>
  </si>
  <si>
    <t>1.</t>
  </si>
  <si>
    <t>建立并固定 F0，记录 X/Y/Z 正方向；</t>
  </si>
  <si>
    <t>2.</t>
  </si>
  <si>
    <t>将装配体切换到零位构型；</t>
  </si>
  <si>
    <t>3.</t>
  </si>
  <si>
    <t>依次测量轴1～轴5的方向向量和轴线上一点；</t>
  </si>
  <si>
    <t>4.</t>
  </si>
  <si>
    <t>测量轴1～轴5、导轨参考点、导丝/导管中心线参考点的坐标；</t>
  </si>
  <si>
    <t>5.</t>
  </si>
  <si>
    <t>测量各轴行程/角度范围和零位偏置；</t>
  </si>
  <si>
    <t>6.</t>
  </si>
  <si>
    <t>测量导轨和每个夹持机构的尺寸、可动区间和互相之间的最小安全间隙；</t>
  </si>
  <si>
    <t>7.</t>
  </si>
  <si>
    <t>完成后查看“校核计算”和“自碰撞与验证”两张表。</t>
  </si>
  <si>
    <t>关节参数：零位轴线、范围和零位偏置</t>
  </si>
  <si>
    <t>关节ID</t>
  </si>
  <si>
    <t>类型(P/R)</t>
  </si>
  <si>
    <t>机械名称</t>
  </si>
  <si>
    <t>变量符号</t>
  </si>
  <si>
    <t>轴向 X</t>
  </si>
  <si>
    <t>轴向 Y</t>
  </si>
  <si>
    <t>轴向 Z</t>
  </si>
  <si>
    <t>轴线上一点 X0</t>
  </si>
  <si>
    <t>轴线上一点 Y0</t>
  </si>
  <si>
    <t>轴线上一点 Z0</t>
  </si>
  <si>
    <t>零位读数</t>
  </si>
  <si>
    <t>最小值</t>
  </si>
  <si>
    <t>最大值</t>
  </si>
  <si>
    <t>编码器换算</t>
  </si>
  <si>
    <t>零位偏置</t>
  </si>
  <si>
    <t>正方向</t>
  </si>
  <si>
    <t>SW测量引用</t>
  </si>
  <si>
    <t>备注</t>
  </si>
  <si>
    <t>J1</t>
  </si>
  <si>
    <t>P</t>
  </si>
  <si>
    <t>上下移动轴</t>
  </si>
  <si>
    <t>d1</t>
  </si>
  <si>
    <t/>
  </si>
  <si>
    <t>mm/计数</t>
  </si>
  <si>
    <t>+1</t>
  </si>
  <si>
    <t>长度单位 mm</t>
  </si>
  <si>
    <t>J2</t>
  </si>
  <si>
    <t>R</t>
  </si>
  <si>
    <t>竖直旋转轴2</t>
  </si>
  <si>
    <t>θ2</t>
  </si>
  <si>
    <t>deg/计数</t>
  </si>
  <si>
    <t>轴线应与F0的Z方向平行</t>
  </si>
  <si>
    <t>J3</t>
  </si>
  <si>
    <t>竖直旋转轴3</t>
  </si>
  <si>
    <t>θ3</t>
  </si>
  <si>
    <t>与轴2存在水平距离</t>
  </si>
  <si>
    <t>J4</t>
  </si>
  <si>
    <t>竖直旋转轴4</t>
  </si>
  <si>
    <t>θ4</t>
  </si>
  <si>
    <t>与轴3存在水平距离</t>
  </si>
  <si>
    <t>J5</t>
  </si>
  <si>
    <t>水平旋转轴5</t>
  </si>
  <si>
    <t>θ5</t>
  </si>
  <si>
    <t>请按零位构型实测轴向</t>
  </si>
  <si>
    <t>几何参数：零位构型下的关键点坐标</t>
  </si>
  <si>
    <t>建议所有坐标都直接从 SW 装配体相对 F0 读取</t>
  </si>
  <si>
    <t>点ID</t>
  </si>
  <si>
    <t>点/对象</t>
  </si>
  <si>
    <t>用途</t>
  </si>
  <si>
    <t>X0 (mm)</t>
  </si>
  <si>
    <t>Y0 (mm)</t>
  </si>
  <si>
    <t>Z0 (mm)</t>
  </si>
  <si>
    <t>测量说明</t>
  </si>
  <si>
    <t>O0</t>
  </si>
  <si>
    <t>基坐标原点 F0</t>
  </si>
  <si>
    <t>机器人基座参考原点</t>
  </si>
  <si>
    <t>通常为0；若采用SW已有坐标系，请保持坐标一致</t>
  </si>
  <si>
    <t>P1</t>
  </si>
  <si>
    <t>轴1参考点</t>
  </si>
  <si>
    <t>轴1零位下的移动平台参考点</t>
  </si>
  <si>
    <t>选平台上便于重复测量的固定点</t>
  </si>
  <si>
    <t>P2</t>
  </si>
  <si>
    <t>轴2轴线上一点</t>
  </si>
  <si>
    <t>轴2空间位置</t>
  </si>
  <si>
    <t>与“关节参数”中的轴线上一点相互校核</t>
  </si>
  <si>
    <t>P3</t>
  </si>
  <si>
    <t>轴3轴线上一点</t>
  </si>
  <si>
    <t>轴3空间位置</t>
  </si>
  <si>
    <t>P4</t>
  </si>
  <si>
    <t>轴4轴线上一点</t>
  </si>
  <si>
    <t>轴4空间位置</t>
  </si>
  <si>
    <t>P5</t>
  </si>
  <si>
    <t>轴5轴线上一点/旋转中心</t>
  </si>
  <si>
    <t>轴5空间位置</t>
  </si>
  <si>
    <t>优先选旋转轴中心或轴线上可识别点</t>
  </si>
  <si>
    <t>PR</t>
  </si>
  <si>
    <t>导轨参考点</t>
  </si>
  <si>
    <t>导轨s=0的参考点</t>
  </si>
  <si>
    <t>必须定义s=0；建议选导轨近端中心线点</t>
  </si>
  <si>
    <t>PC</t>
  </si>
  <si>
    <t>介入中心线参考点</t>
  </si>
  <si>
    <t>导丝/导管中心线的基准点</t>
  </si>
  <si>
    <t>例如导轨出口或最前端夹具中心线点</t>
  </si>
  <si>
    <t>自动计算：轴间水平距离与高度差</t>
  </si>
  <si>
    <t>参数</t>
  </si>
  <si>
    <t>计算对象</t>
  </si>
  <si>
    <t>公式/结果</t>
  </si>
  <si>
    <t>数值</t>
  </si>
  <si>
    <t>单位</t>
  </si>
  <si>
    <t>判读</t>
  </si>
  <si>
    <t>L23</t>
  </si>
  <si>
    <t>轴2到轴3水平距离</t>
  </si>
  <si>
    <t>√((X3-X2)^2+(Y3-Y2)^2)</t>
  </si>
  <si>
    <t>mm</t>
  </si>
  <si>
    <t>轴2/3的水平偏置</t>
  </si>
  <si>
    <t>应明显大于0</t>
  </si>
  <si>
    <t>L34</t>
  </si>
  <si>
    <t>轴3到轴4水平距离</t>
  </si>
  <si>
    <t>√((X4-X3)^2+(Y4-Y3)^2)</t>
  </si>
  <si>
    <t>轴3/4的水平偏置</t>
  </si>
  <si>
    <t>L45</t>
  </si>
  <si>
    <t>轴4到轴5水平距离</t>
  </si>
  <si>
    <t>√((X5-X4)^2+(Y5-Y4)^2)</t>
  </si>
  <si>
    <t>轴4/5的水平偏置</t>
  </si>
  <si>
    <t>视结构而定</t>
  </si>
  <si>
    <t>ΔZ23</t>
  </si>
  <si>
    <t>轴2到轴3高度差</t>
  </si>
  <si>
    <t>Z3-Z2</t>
  </si>
  <si>
    <t>检查两轴是否同高</t>
  </si>
  <si>
    <t>理论上可接近0</t>
  </si>
  <si>
    <t>ΔZ34</t>
  </si>
  <si>
    <t>轴3到轴4高度差</t>
  </si>
  <si>
    <t>Z4-Z3</t>
  </si>
  <si>
    <t>ΔZ45</t>
  </si>
  <si>
    <t>轴4到轴5高度差</t>
  </si>
  <si>
    <t>Z5-Z4</t>
  </si>
  <si>
    <t>轴5相对轴4的高度</t>
  </si>
  <si>
    <t>通常不为0</t>
  </si>
  <si>
    <t>RPC</t>
  </si>
  <si>
    <t>导轨参考点到中心线参考点</t>
  </si>
  <si>
    <t>√((XC-XR)^2+(YC-YR)^2+(ZC-ZR)^2)</t>
  </si>
  <si>
    <t>安装偏置长度</t>
  </si>
  <si>
    <t>需与导轨方向一起使用</t>
  </si>
  <si>
    <t>导轨与夹具：介入机器人末端参数</t>
  </si>
  <si>
    <t>导轨基准</t>
  </si>
  <si>
    <t>说明</t>
  </si>
  <si>
    <t>导轨参考点 PR</t>
  </si>
  <si>
    <t>与几何参数表PR相同</t>
  </si>
  <si>
    <t>自动引用</t>
  </si>
  <si>
    <t>导轨方向 ux</t>
  </si>
  <si>
    <t>F0下的局部+X方向分量</t>
  </si>
  <si>
    <t>无量纲</t>
  </si>
  <si>
    <t>必须为单位向量</t>
  </si>
  <si>
    <t>导轨方向 uy</t>
  </si>
  <si>
    <t>导轨方向 uz</t>
  </si>
  <si>
    <t>导轨长度</t>
  </si>
  <si>
    <t>导轨有效长度</t>
  </si>
  <si>
    <t>导轨有效行程</t>
  </si>
  <si>
    <t>机构沿导轨可移动的总范围</t>
  </si>
  <si>
    <t>若有多个机构，可按每个机构分别填</t>
  </si>
  <si>
    <t>导轨外包络宽度</t>
  </si>
  <si>
    <t>用于碰撞模型</t>
  </si>
  <si>
    <t>取最外侧尺寸</t>
  </si>
  <si>
    <t>导轨外包络高度</t>
  </si>
  <si>
    <t>夹具/机构参数：s 沿导轨局部+X方向，s=0为PR</t>
  </si>
  <si>
    <t>机构ID</t>
  </si>
  <si>
    <t>功能</t>
  </si>
  <si>
    <t>s0位置</t>
  </si>
  <si>
    <t>s最小</t>
  </si>
  <si>
    <t>s最大</t>
  </si>
  <si>
    <t>沿导轨长度</t>
  </si>
  <si>
    <t>横向宽度</t>
  </si>
  <si>
    <t>竖向高度</t>
  </si>
  <si>
    <t>中心线偏置Y</t>
  </si>
  <si>
    <t>中心线偏置Z</t>
  </si>
  <si>
    <t>碰撞等效半径</t>
  </si>
  <si>
    <t>最小安全间隙</t>
  </si>
  <si>
    <t>SW零件/子装配体</t>
  </si>
  <si>
    <t>C1</t>
  </si>
  <si>
    <t>C2</t>
  </si>
  <si>
    <t>C3</t>
  </si>
  <si>
    <t>C4</t>
  </si>
  <si>
    <t>C5</t>
  </si>
  <si>
    <t>C6</t>
  </si>
  <si>
    <t>C7</t>
  </si>
  <si>
    <t>C8</t>
  </si>
  <si>
    <t>自动校核：轴线方向、平行度和关键距离</t>
  </si>
  <si>
    <t>数值由前面各表引用；空白表示尚未填写</t>
  </si>
  <si>
    <t>校核项</t>
  </si>
  <si>
    <t>含义</t>
  </si>
  <si>
    <t>结果</t>
  </si>
  <si>
    <t>建议判据</t>
  </si>
  <si>
    <t>J1轴向范数</t>
  </si>
  <si>
    <t>sqrt(x²+y²+z²)</t>
  </si>
  <si>
    <t>接近1</t>
  </si>
  <si>
    <t>单位向量检查</t>
  </si>
  <si>
    <t>J2轴向范数</t>
  </si>
  <si>
    <t>J3轴向范数</t>
  </si>
  <si>
    <t>J4轴向范数</t>
  </si>
  <si>
    <t>J5轴向范数</t>
  </si>
  <si>
    <t>J2垂直度误差</t>
  </si>
  <si>
    <t>sqrt(x²+y²)</t>
  </si>
  <si>
    <t>越接近0越好</t>
  </si>
  <si>
    <t>轴2理论上为竖直轴</t>
  </si>
  <si>
    <t>J3垂直度误差</t>
  </si>
  <si>
    <t>轴3理论上为竖直轴</t>
  </si>
  <si>
    <t>J4垂直度误差</t>
  </si>
  <si>
    <t>轴4理论上为竖直轴</t>
  </si>
  <si>
    <t>J5水平度误差</t>
  </si>
  <si>
    <t>abs(z)</t>
  </si>
  <si>
    <t>轴5理论上平行于地面</t>
  </si>
  <si>
    <t>轴2-3水平距离</t>
  </si>
  <si>
    <t>引用几何参数!D17</t>
  </si>
  <si>
    <t>&gt;0</t>
  </si>
  <si>
    <t>轴2、轴3不能同轴</t>
  </si>
  <si>
    <t>轴3-4水平距离</t>
  </si>
  <si>
    <t>引用几何参数!D18</t>
  </si>
  <si>
    <t>轴3、轴4不能同轴</t>
  </si>
  <si>
    <t>轴4-5水平距离</t>
  </si>
  <si>
    <t>引用几何参数!D19</t>
  </si>
  <si>
    <t>按结构判断</t>
  </si>
  <si>
    <t>轴4到轴5的水平偏置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</si>
</sst>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3"/>
  <sheetViews>
    <sheetView showGridLines="0" tabSelected="1" workbookViewId="0">
      <pane ySplit="3" topLeftCell="A4" activePane="bottomLeft" state="frozen"/>
      <selection/>
      <selection pane="bottomLeft" activeCell="B6" sqref="B6"/>
    </sheetView>
  </sheetViews>
  <sheetFormatPr defaultColWidth="9" defaultRowHeight="14" outlineLevelCol="2"/>
  <cols>
    <col min="1" max="1" width="20" customWidth="1"/>
    <col min="2" max="2" width="68" customWidth="1"/>
    <col min="3" max="3" width="36" customWidth="1"/>
  </cols>
  <sheetData>
    <row r="1" ht="28" customHeight="1" spans="1:3">
      <c r="A1" s="1" t="s">
        <v>0</v>
      </c>
    </row>
    <row r="3" ht="16.5" spans="1:3">
      <c r="A3" s="2" t="s">
        <v>1</v>
      </c>
    </row>
    <row r="4" ht="34" customHeight="1" spans="1:3">
      <c r="A4" s="3" t="s">
        <v>2</v>
      </c>
      <c r="B4" s="3" t="s">
        <v>3</v>
      </c>
      <c r="C4" s="3" t="s">
        <v>4</v>
      </c>
    </row>
    <row r="5" ht="14.5" spans="1:3">
      <c r="A5" s="4" t="s">
        <v>5</v>
      </c>
      <c r="B5" s="4" t="s">
        <v>6</v>
      </c>
      <c r="C5" s="4" t="s">
        <v>7</v>
      </c>
    </row>
    <row r="6" ht="29" spans="1:3">
      <c r="A6" s="5" t="s">
        <v>8</v>
      </c>
      <c r="B6" s="5" t="s">
        <v>9</v>
      </c>
      <c r="C6" s="5" t="s">
        <v>7</v>
      </c>
    </row>
    <row r="7" ht="29" spans="1:3">
      <c r="A7" s="4" t="s">
        <v>10</v>
      </c>
      <c r="B7" s="4" t="s">
        <v>11</v>
      </c>
      <c r="C7" s="4" t="s">
        <v>7</v>
      </c>
    </row>
    <row r="8" ht="29" spans="1:3">
      <c r="A8" s="5" t="s">
        <v>12</v>
      </c>
      <c r="B8" s="5" t="s">
        <v>13</v>
      </c>
      <c r="C8" s="5" t="s">
        <v>7</v>
      </c>
    </row>
    <row r="9" ht="14.5" spans="1:3">
      <c r="A9" s="4" t="s">
        <v>14</v>
      </c>
      <c r="B9" s="4" t="s">
        <v>15</v>
      </c>
      <c r="C9" s="4" t="s">
        <v>16</v>
      </c>
    </row>
    <row r="10" ht="14.5" spans="1:3">
      <c r="A10" s="5" t="s">
        <v>17</v>
      </c>
      <c r="B10" s="5" t="s">
        <v>18</v>
      </c>
      <c r="C10" s="5" t="s">
        <v>7</v>
      </c>
    </row>
    <row r="11" ht="29" spans="1:3">
      <c r="A11" s="4" t="s">
        <v>19</v>
      </c>
      <c r="B11" s="4" t="s">
        <v>20</v>
      </c>
      <c r="C11" s="4" t="s">
        <v>7</v>
      </c>
    </row>
    <row r="12" ht="29" spans="1:3">
      <c r="A12" s="5" t="s">
        <v>21</v>
      </c>
      <c r="B12" s="5" t="s">
        <v>22</v>
      </c>
      <c r="C12" s="5" t="s">
        <v>7</v>
      </c>
    </row>
    <row r="13" ht="29" spans="1:3">
      <c r="A13" s="4" t="s">
        <v>23</v>
      </c>
      <c r="B13" s="4" t="s">
        <v>24</v>
      </c>
      <c r="C13" s="4" t="s">
        <v>7</v>
      </c>
    </row>
    <row r="16" ht="16.5" spans="1:3">
      <c r="A16" s="2" t="s">
        <v>25</v>
      </c>
    </row>
    <row r="17" ht="14.5" spans="1:3">
      <c r="A17" s="4" t="s">
        <v>26</v>
      </c>
      <c r="B17" s="4" t="s">
        <v>27</v>
      </c>
      <c r="C17" s="4"/>
    </row>
    <row r="18" ht="14.5" spans="1:3">
      <c r="A18" s="5" t="s">
        <v>28</v>
      </c>
      <c r="B18" s="5" t="s">
        <v>29</v>
      </c>
      <c r="C18" s="5"/>
    </row>
    <row r="19" ht="14.5" spans="1:3">
      <c r="A19" s="4" t="s">
        <v>30</v>
      </c>
      <c r="B19" s="4" t="s">
        <v>31</v>
      </c>
      <c r="C19" s="4"/>
    </row>
    <row r="20" ht="14.5" spans="1:3">
      <c r="A20" s="5" t="s">
        <v>32</v>
      </c>
      <c r="B20" s="5" t="s">
        <v>33</v>
      </c>
      <c r="C20" s="5"/>
    </row>
    <row r="21" ht="14.5" spans="1:3">
      <c r="A21" s="4" t="s">
        <v>34</v>
      </c>
      <c r="B21" s="4" t="s">
        <v>35</v>
      </c>
      <c r="C21" s="4"/>
    </row>
    <row r="22" ht="14.5" spans="1:3">
      <c r="A22" s="5" t="s">
        <v>36</v>
      </c>
      <c r="B22" s="5" t="s">
        <v>37</v>
      </c>
      <c r="C22" s="5"/>
    </row>
    <row r="23" ht="14.5" spans="1:3">
      <c r="A23" s="4" t="s">
        <v>38</v>
      </c>
      <c r="B23" s="4" t="s">
        <v>39</v>
      </c>
      <c r="C23" s="4"/>
    </row>
  </sheetData>
  <mergeCells count="10">
    <mergeCell ref="A1:C1"/>
    <mergeCell ref="A3:C3"/>
    <mergeCell ref="A16:C16"/>
    <mergeCell ref="B17:C17"/>
    <mergeCell ref="B18:C18"/>
    <mergeCell ref="B19:C19"/>
    <mergeCell ref="B20:C20"/>
    <mergeCell ref="B21:C21"/>
    <mergeCell ref="B22:C22"/>
    <mergeCell ref="B23:C23"/>
  </mergeCells>
  <pageMargins left="0.25" right="0.25" top="0.5" bottom="0.5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"/>
  <sheetViews>
    <sheetView showGridLines="0" workbookViewId="0">
      <pane ySplit="3" topLeftCell="A4" activePane="bottomLeft" state="frozen"/>
      <selection/>
      <selection pane="bottomLeft" activeCell="A1" sqref="A1:R1"/>
    </sheetView>
  </sheetViews>
  <sheetFormatPr defaultColWidth="9" defaultRowHeight="14" outlineLevelRow="7"/>
  <cols>
    <col min="1" max="1" width="10" customWidth="1"/>
    <col min="2" max="2" width="12" customWidth="1"/>
    <col min="3" max="3" width="18" customWidth="1"/>
    <col min="4" max="4" width="12" customWidth="1"/>
    <col min="5" max="7" width="11" customWidth="1"/>
    <col min="8" max="10" width="13" customWidth="1"/>
    <col min="11" max="11" width="15" customWidth="1"/>
    <col min="12" max="13" width="12" customWidth="1"/>
    <col min="14" max="14" width="20" customWidth="1"/>
    <col min="15" max="15" width="14" customWidth="1"/>
    <col min="16" max="16" width="11" customWidth="1"/>
    <col min="17" max="17" width="28" customWidth="1"/>
    <col min="18" max="18" width="24" customWidth="1"/>
  </cols>
  <sheetData>
    <row r="1" ht="28" customHeight="1" spans="1:18">
      <c r="A1" s="1" t="s">
        <v>40</v>
      </c>
    </row>
    <row r="3" ht="34" customHeight="1" spans="1:18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</row>
    <row r="4" ht="14.5" spans="1:18">
      <c r="A4" s="5" t="s">
        <v>59</v>
      </c>
      <c r="B4" s="5" t="s">
        <v>60</v>
      </c>
      <c r="C4" s="5" t="s">
        <v>61</v>
      </c>
      <c r="D4" s="5" t="s">
        <v>62</v>
      </c>
      <c r="E4" s="5">
        <v>0</v>
      </c>
      <c r="F4" s="5">
        <v>0</v>
      </c>
      <c r="G4" s="5">
        <v>1</v>
      </c>
      <c r="H4" s="5" t="s">
        <v>63</v>
      </c>
      <c r="I4" s="5" t="s">
        <v>63</v>
      </c>
      <c r="J4" s="5" t="s">
        <v>63</v>
      </c>
      <c r="K4" s="5" t="s">
        <v>63</v>
      </c>
      <c r="L4" s="5" t="s">
        <v>63</v>
      </c>
      <c r="M4" s="5" t="s">
        <v>63</v>
      </c>
      <c r="N4" s="5" t="s">
        <v>64</v>
      </c>
      <c r="O4" s="5">
        <v>0</v>
      </c>
      <c r="P4" s="5" t="s">
        <v>65</v>
      </c>
      <c r="Q4" s="5" t="s">
        <v>63</v>
      </c>
      <c r="R4" s="5" t="s">
        <v>66</v>
      </c>
    </row>
    <row r="5" ht="14.5" spans="1:18">
      <c r="A5" s="4" t="s">
        <v>67</v>
      </c>
      <c r="B5" s="4" t="s">
        <v>68</v>
      </c>
      <c r="C5" s="4" t="s">
        <v>69</v>
      </c>
      <c r="D5" s="4" t="s">
        <v>70</v>
      </c>
      <c r="E5" s="4">
        <v>0</v>
      </c>
      <c r="F5" s="4">
        <v>0</v>
      </c>
      <c r="G5" s="4">
        <v>1</v>
      </c>
      <c r="H5" s="4" t="s">
        <v>63</v>
      </c>
      <c r="I5" s="4" t="s">
        <v>63</v>
      </c>
      <c r="J5" s="4" t="s">
        <v>63</v>
      </c>
      <c r="K5" s="4" t="s">
        <v>63</v>
      </c>
      <c r="L5" s="4" t="s">
        <v>63</v>
      </c>
      <c r="M5" s="4" t="s">
        <v>63</v>
      </c>
      <c r="N5" s="4" t="s">
        <v>71</v>
      </c>
      <c r="O5" s="4">
        <v>0</v>
      </c>
      <c r="P5" s="4" t="s">
        <v>65</v>
      </c>
      <c r="Q5" s="4" t="s">
        <v>63</v>
      </c>
      <c r="R5" s="4" t="s">
        <v>72</v>
      </c>
    </row>
    <row r="6" ht="14.5" spans="1:18">
      <c r="A6" s="5" t="s">
        <v>73</v>
      </c>
      <c r="B6" s="5" t="s">
        <v>68</v>
      </c>
      <c r="C6" s="5" t="s">
        <v>74</v>
      </c>
      <c r="D6" s="5" t="s">
        <v>75</v>
      </c>
      <c r="E6" s="5">
        <v>0</v>
      </c>
      <c r="F6" s="5">
        <v>0</v>
      </c>
      <c r="G6" s="5">
        <v>1</v>
      </c>
      <c r="H6" s="5" t="s">
        <v>63</v>
      </c>
      <c r="I6" s="5" t="s">
        <v>63</v>
      </c>
      <c r="J6" s="5" t="s">
        <v>63</v>
      </c>
      <c r="K6" s="5" t="s">
        <v>63</v>
      </c>
      <c r="L6" s="5" t="s">
        <v>63</v>
      </c>
      <c r="M6" s="5" t="s">
        <v>63</v>
      </c>
      <c r="N6" s="5" t="s">
        <v>71</v>
      </c>
      <c r="O6" s="5">
        <v>0</v>
      </c>
      <c r="P6" s="5" t="s">
        <v>65</v>
      </c>
      <c r="Q6" s="5" t="s">
        <v>63</v>
      </c>
      <c r="R6" s="5" t="s">
        <v>76</v>
      </c>
    </row>
    <row r="7" ht="14.5" spans="1:18">
      <c r="A7" s="4" t="s">
        <v>77</v>
      </c>
      <c r="B7" s="4" t="s">
        <v>68</v>
      </c>
      <c r="C7" s="4" t="s">
        <v>78</v>
      </c>
      <c r="D7" s="4" t="s">
        <v>79</v>
      </c>
      <c r="E7" s="4">
        <v>0</v>
      </c>
      <c r="F7" s="4">
        <v>0</v>
      </c>
      <c r="G7" s="4">
        <v>1</v>
      </c>
      <c r="H7" s="4" t="s">
        <v>63</v>
      </c>
      <c r="I7" s="4" t="s">
        <v>63</v>
      </c>
      <c r="J7" s="4" t="s">
        <v>63</v>
      </c>
      <c r="K7" s="4" t="s">
        <v>63</v>
      </c>
      <c r="L7" s="4" t="s">
        <v>63</v>
      </c>
      <c r="M7" s="4" t="s">
        <v>63</v>
      </c>
      <c r="N7" s="4" t="s">
        <v>71</v>
      </c>
      <c r="O7" s="4">
        <v>0</v>
      </c>
      <c r="P7" s="4" t="s">
        <v>65</v>
      </c>
      <c r="Q7" s="4" t="s">
        <v>63</v>
      </c>
      <c r="R7" s="4" t="s">
        <v>80</v>
      </c>
    </row>
    <row r="8" ht="14.5" spans="1:18">
      <c r="A8" s="5" t="s">
        <v>81</v>
      </c>
      <c r="B8" s="5" t="s">
        <v>68</v>
      </c>
      <c r="C8" s="5" t="s">
        <v>82</v>
      </c>
      <c r="D8" s="5" t="s">
        <v>83</v>
      </c>
      <c r="E8" s="5">
        <v>1</v>
      </c>
      <c r="F8" s="5">
        <v>0</v>
      </c>
      <c r="G8" s="5">
        <v>0</v>
      </c>
      <c r="H8" s="5" t="s">
        <v>63</v>
      </c>
      <c r="I8" s="5" t="s">
        <v>63</v>
      </c>
      <c r="J8" s="5" t="s">
        <v>63</v>
      </c>
      <c r="K8" s="5" t="s">
        <v>63</v>
      </c>
      <c r="L8" s="5" t="s">
        <v>63</v>
      </c>
      <c r="M8" s="5" t="s">
        <v>63</v>
      </c>
      <c r="N8" s="5" t="s">
        <v>71</v>
      </c>
      <c r="O8" s="5">
        <v>0</v>
      </c>
      <c r="P8" s="5" t="s">
        <v>65</v>
      </c>
      <c r="Q8" s="5" t="s">
        <v>63</v>
      </c>
      <c r="R8" s="5" t="s">
        <v>84</v>
      </c>
    </row>
  </sheetData>
  <autoFilter xmlns:etc="http://www.wps.cn/officeDocument/2017/etCustomData" ref="A3:R8" etc:filterBottomFollowUsedRange="0">
    <extLst/>
  </autoFilter>
  <mergeCells count="1">
    <mergeCell ref="A1:R1"/>
  </mergeCells>
  <dataValidations count="2">
    <dataValidation type="list" sqref="B4:B8">
      <formula1>"P,R"</formula1>
    </dataValidation>
    <dataValidation type="list" sqref="P4:P8">
      <formula1>"+1,-1"</formula1>
    </dataValidation>
  </dataValidations>
  <pageMargins left="0.25" right="0.25" top="0.5" bottom="0.5" header="0.5" footer="0.5"/>
  <pageSetup paperSize="1" fitToHeight="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showGridLines="0" workbookViewId="0">
      <pane ySplit="3" topLeftCell="A4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3" customWidth="1"/>
    <col min="2" max="2" width="28" customWidth="1"/>
    <col min="3" max="3" width="46" customWidth="1"/>
    <col min="4" max="6" width="14" customWidth="1"/>
    <col min="7" max="7" width="32" customWidth="1"/>
  </cols>
  <sheetData>
    <row r="1" ht="28" customHeight="1" spans="1:7">
      <c r="A1" s="1" t="s">
        <v>85</v>
      </c>
    </row>
    <row r="3" ht="16.5" spans="1:7">
      <c r="A3" s="2" t="s">
        <v>86</v>
      </c>
    </row>
    <row r="4" ht="34" customHeight="1" spans="1:7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</row>
    <row r="5" ht="29" spans="1:7">
      <c r="A5" s="4" t="s">
        <v>94</v>
      </c>
      <c r="B5" s="4" t="s">
        <v>95</v>
      </c>
      <c r="C5" s="4" t="s">
        <v>96</v>
      </c>
      <c r="D5" s="4">
        <v>0</v>
      </c>
      <c r="E5" s="4">
        <v>0</v>
      </c>
      <c r="F5" s="4">
        <v>0</v>
      </c>
      <c r="G5" s="4" t="s">
        <v>97</v>
      </c>
    </row>
    <row r="6" ht="14.5" spans="1:7">
      <c r="A6" s="5" t="s">
        <v>98</v>
      </c>
      <c r="B6" s="5" t="s">
        <v>99</v>
      </c>
      <c r="C6" s="5" t="s">
        <v>100</v>
      </c>
      <c r="D6" s="5" t="s">
        <v>63</v>
      </c>
      <c r="E6" s="5" t="s">
        <v>63</v>
      </c>
      <c r="F6" s="5" t="s">
        <v>63</v>
      </c>
      <c r="G6" s="5" t="s">
        <v>101</v>
      </c>
    </row>
    <row r="7" ht="29" spans="1:7">
      <c r="A7" s="4" t="s">
        <v>102</v>
      </c>
      <c r="B7" s="4" t="s">
        <v>103</v>
      </c>
      <c r="C7" s="4" t="s">
        <v>104</v>
      </c>
      <c r="D7" s="4" t="s">
        <v>63</v>
      </c>
      <c r="E7" s="4" t="s">
        <v>63</v>
      </c>
      <c r="F7" s="4" t="s">
        <v>63</v>
      </c>
      <c r="G7" s="4" t="s">
        <v>105</v>
      </c>
    </row>
    <row r="8" ht="29" spans="1:7">
      <c r="A8" s="5" t="s">
        <v>106</v>
      </c>
      <c r="B8" s="5" t="s">
        <v>107</v>
      </c>
      <c r="C8" s="5" t="s">
        <v>108</v>
      </c>
      <c r="D8" s="5" t="s">
        <v>63</v>
      </c>
      <c r="E8" s="5" t="s">
        <v>63</v>
      </c>
      <c r="F8" s="5" t="s">
        <v>63</v>
      </c>
      <c r="G8" s="5" t="s">
        <v>105</v>
      </c>
    </row>
    <row r="9" ht="29" spans="1:7">
      <c r="A9" s="4" t="s">
        <v>109</v>
      </c>
      <c r="B9" s="4" t="s">
        <v>110</v>
      </c>
      <c r="C9" s="4" t="s">
        <v>111</v>
      </c>
      <c r="D9" s="4" t="s">
        <v>63</v>
      </c>
      <c r="E9" s="4" t="s">
        <v>63</v>
      </c>
      <c r="F9" s="4" t="s">
        <v>63</v>
      </c>
      <c r="G9" s="4" t="s">
        <v>105</v>
      </c>
    </row>
    <row r="10" ht="14.5" spans="1:7">
      <c r="A10" s="5" t="s">
        <v>112</v>
      </c>
      <c r="B10" s="5" t="s">
        <v>113</v>
      </c>
      <c r="C10" s="5" t="s">
        <v>114</v>
      </c>
      <c r="D10" s="5" t="s">
        <v>63</v>
      </c>
      <c r="E10" s="5" t="s">
        <v>63</v>
      </c>
      <c r="F10" s="5" t="s">
        <v>63</v>
      </c>
      <c r="G10" s="5" t="s">
        <v>115</v>
      </c>
    </row>
    <row r="11" ht="29" spans="1:7">
      <c r="A11" s="4" t="s">
        <v>116</v>
      </c>
      <c r="B11" s="4" t="s">
        <v>117</v>
      </c>
      <c r="C11" s="4" t="s">
        <v>118</v>
      </c>
      <c r="D11" s="4" t="s">
        <v>63</v>
      </c>
      <c r="E11" s="4" t="s">
        <v>63</v>
      </c>
      <c r="F11" s="4" t="s">
        <v>63</v>
      </c>
      <c r="G11" s="4" t="s">
        <v>119</v>
      </c>
    </row>
    <row r="12" ht="14.5" spans="1:7">
      <c r="A12" s="5" t="s">
        <v>120</v>
      </c>
      <c r="B12" s="5" t="s">
        <v>121</v>
      </c>
      <c r="C12" s="5" t="s">
        <v>122</v>
      </c>
      <c r="D12" s="5" t="s">
        <v>63</v>
      </c>
      <c r="E12" s="5" t="s">
        <v>63</v>
      </c>
      <c r="F12" s="5" t="s">
        <v>63</v>
      </c>
      <c r="G12" s="5" t="s">
        <v>123</v>
      </c>
    </row>
    <row r="15" ht="16.5" spans="1:7">
      <c r="A15" s="2" t="s">
        <v>124</v>
      </c>
    </row>
    <row r="16" ht="34" customHeight="1" spans="1:7">
      <c r="A16" s="3" t="s">
        <v>125</v>
      </c>
      <c r="B16" s="3" t="s">
        <v>126</v>
      </c>
      <c r="C16" s="3" t="s">
        <v>127</v>
      </c>
      <c r="D16" s="3" t="s">
        <v>128</v>
      </c>
      <c r="E16" s="3" t="s">
        <v>129</v>
      </c>
      <c r="F16" s="3" t="s">
        <v>130</v>
      </c>
      <c r="G16" s="3" t="s">
        <v>58</v>
      </c>
    </row>
    <row r="17" ht="29" spans="1:7">
      <c r="A17" s="4" t="s">
        <v>131</v>
      </c>
      <c r="B17" s="4" t="s">
        <v>132</v>
      </c>
      <c r="C17" s="4" t="s">
        <v>133</v>
      </c>
      <c r="D17" s="4" t="str">
        <f>IF(COUNT(D7:E8)&lt;4,"",SQRT((D8-D7)^2+(E8-E7)^2))</f>
        <v/>
      </c>
      <c r="E17" s="4" t="s">
        <v>134</v>
      </c>
      <c r="F17" s="4" t="s">
        <v>135</v>
      </c>
      <c r="G17" s="4" t="s">
        <v>136</v>
      </c>
    </row>
    <row r="18" ht="29" spans="1:7">
      <c r="A18" s="5" t="s">
        <v>137</v>
      </c>
      <c r="B18" s="5" t="s">
        <v>138</v>
      </c>
      <c r="C18" s="5" t="s">
        <v>139</v>
      </c>
      <c r="D18" s="5" t="str">
        <f>IF(COUNT(D8:E9)&lt;4,"",SQRT((D9-D8)^2+(E9-E8)^2))</f>
        <v/>
      </c>
      <c r="E18" s="5" t="s">
        <v>134</v>
      </c>
      <c r="F18" s="5" t="s">
        <v>140</v>
      </c>
      <c r="G18" s="5" t="s">
        <v>136</v>
      </c>
    </row>
    <row r="19" ht="29" spans="1:7">
      <c r="A19" s="4" t="s">
        <v>141</v>
      </c>
      <c r="B19" s="4" t="s">
        <v>142</v>
      </c>
      <c r="C19" s="4" t="s">
        <v>143</v>
      </c>
      <c r="D19" s="4" t="str">
        <f>IF(COUNT(D9:E10)&lt;4,"",SQRT((D10-D9)^2+(E10-E9)^2))</f>
        <v/>
      </c>
      <c r="E19" s="4" t="s">
        <v>134</v>
      </c>
      <c r="F19" s="4" t="s">
        <v>144</v>
      </c>
      <c r="G19" s="4" t="s">
        <v>145</v>
      </c>
    </row>
    <row r="20" ht="29" spans="1:7">
      <c r="A20" s="5" t="s">
        <v>146</v>
      </c>
      <c r="B20" s="5" t="s">
        <v>147</v>
      </c>
      <c r="C20" s="5" t="s">
        <v>148</v>
      </c>
      <c r="D20" s="5" t="str">
        <f>IF(COUNT(F7:F8)&lt;2,"",F8-F7)</f>
        <v/>
      </c>
      <c r="E20" s="5" t="s">
        <v>134</v>
      </c>
      <c r="F20" s="5" t="s">
        <v>149</v>
      </c>
      <c r="G20" s="5" t="s">
        <v>150</v>
      </c>
    </row>
    <row r="21" ht="29" spans="1:7">
      <c r="A21" s="4" t="s">
        <v>151</v>
      </c>
      <c r="B21" s="4" t="s">
        <v>152</v>
      </c>
      <c r="C21" s="4" t="s">
        <v>153</v>
      </c>
      <c r="D21" s="4" t="str">
        <f>IF(COUNT(F8:F9)&lt;2,"",F9-F8)</f>
        <v/>
      </c>
      <c r="E21" s="4" t="s">
        <v>134</v>
      </c>
      <c r="F21" s="4" t="s">
        <v>149</v>
      </c>
      <c r="G21" s="4" t="s">
        <v>150</v>
      </c>
    </row>
    <row r="22" ht="29" spans="1:7">
      <c r="A22" s="5" t="s">
        <v>154</v>
      </c>
      <c r="B22" s="5" t="s">
        <v>155</v>
      </c>
      <c r="C22" s="5" t="s">
        <v>156</v>
      </c>
      <c r="D22" s="5" t="str">
        <f>IF(COUNT(F9:F10)&lt;2,"",F10-F9)</f>
        <v/>
      </c>
      <c r="E22" s="5" t="s">
        <v>134</v>
      </c>
      <c r="F22" s="5" t="s">
        <v>157</v>
      </c>
      <c r="G22" s="5" t="s">
        <v>158</v>
      </c>
    </row>
    <row r="23" ht="14.5" spans="1:7">
      <c r="A23" s="4" t="s">
        <v>159</v>
      </c>
      <c r="B23" s="4" t="s">
        <v>160</v>
      </c>
      <c r="C23" s="4" t="s">
        <v>161</v>
      </c>
      <c r="D23" s="4" t="str">
        <f>IF(COUNT(D11:F12)&lt;6,"",SQRT((D12-D11)^2+(E12-E11)^2+(F12-F11)^2))</f>
        <v/>
      </c>
      <c r="E23" s="4" t="s">
        <v>134</v>
      </c>
      <c r="F23" s="4" t="s">
        <v>162</v>
      </c>
      <c r="G23" s="4" t="s">
        <v>163</v>
      </c>
    </row>
  </sheetData>
  <autoFilter xmlns:etc="http://www.wps.cn/officeDocument/2017/etCustomData" ref="A16:G23" etc:filterBottomFollowUsedRange="0">
    <extLst/>
  </autoFilter>
  <mergeCells count="3">
    <mergeCell ref="A1:G1"/>
    <mergeCell ref="A3:G3"/>
    <mergeCell ref="A15:G15"/>
  </mergeCells>
  <pageMargins left="0.25" right="0.25" top="0.5" bottom="0.5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4"/>
  <sheetViews>
    <sheetView showGridLines="0" workbookViewId="0">
      <pane ySplit="3" topLeftCell="A4" activePane="bottomLeft" state="frozen"/>
      <selection/>
      <selection pane="bottomLeft" activeCell="A1" sqref="A1:N1"/>
    </sheetView>
  </sheetViews>
  <sheetFormatPr defaultColWidth="9" defaultRowHeight="14"/>
  <cols>
    <col min="1" max="1" width="18" customWidth="1"/>
    <col min="2" max="2" width="28" customWidth="1"/>
    <col min="3" max="7" width="14" customWidth="1"/>
    <col min="8" max="12" width="15" customWidth="1"/>
    <col min="13" max="14" width="28" customWidth="1"/>
  </cols>
  <sheetData>
    <row r="1" ht="28" customHeight="1" spans="1:15">
      <c r="A1" s="1" t="s">
        <v>164</v>
      </c>
    </row>
    <row r="3" ht="16.5" spans="1:15">
      <c r="A3" s="2" t="s">
        <v>165</v>
      </c>
    </row>
    <row r="4" ht="34" customHeight="1" spans="1:15">
      <c r="A4" s="3" t="s">
        <v>2</v>
      </c>
      <c r="B4" s="3" t="s">
        <v>166</v>
      </c>
      <c r="C4" s="3" t="s">
        <v>128</v>
      </c>
      <c r="D4" s="3" t="s">
        <v>129</v>
      </c>
      <c r="E4" s="3" t="s">
        <v>58</v>
      </c>
      <c r="F4" s="3" t="s">
        <v>63</v>
      </c>
      <c r="G4" s="3" t="s">
        <v>63</v>
      </c>
      <c r="H4" s="3" t="s">
        <v>63</v>
      </c>
      <c r="I4" s="3" t="s">
        <v>63</v>
      </c>
      <c r="J4" s="3" t="s">
        <v>63</v>
      </c>
      <c r="K4" s="3" t="s">
        <v>63</v>
      </c>
      <c r="L4" s="3" t="s">
        <v>63</v>
      </c>
      <c r="M4" s="3" t="s">
        <v>63</v>
      </c>
      <c r="N4" s="3" t="s">
        <v>63</v>
      </c>
    </row>
    <row r="5" ht="14.5" spans="1:15">
      <c r="A5" s="4" t="s">
        <v>167</v>
      </c>
      <c r="B5" s="4" t="s">
        <v>168</v>
      </c>
      <c r="C5" s="4" t="str">
        <f>几何参数!D11</f>
        <v/>
      </c>
      <c r="D5" s="4" t="s">
        <v>134</v>
      </c>
      <c r="E5" s="4" t="s">
        <v>169</v>
      </c>
      <c r="F5" s="4" t="s">
        <v>63</v>
      </c>
      <c r="G5" s="4" t="s">
        <v>63</v>
      </c>
      <c r="H5" s="4" t="s">
        <v>63</v>
      </c>
      <c r="I5" s="4" t="s">
        <v>63</v>
      </c>
      <c r="J5" s="4" t="s">
        <v>63</v>
      </c>
      <c r="K5" s="4" t="s">
        <v>63</v>
      </c>
      <c r="L5" s="4" t="s">
        <v>63</v>
      </c>
      <c r="M5" s="4" t="s">
        <v>63</v>
      </c>
      <c r="N5" s="4" t="s">
        <v>63</v>
      </c>
    </row>
    <row r="6" ht="14.5" spans="1:15">
      <c r="A6" s="5" t="s">
        <v>170</v>
      </c>
      <c r="B6" s="5" t="s">
        <v>171</v>
      </c>
      <c r="C6" s="5" t="s">
        <v>63</v>
      </c>
      <c r="D6" s="5" t="s">
        <v>172</v>
      </c>
      <c r="E6" s="5" t="s">
        <v>173</v>
      </c>
      <c r="F6" s="5" t="s">
        <v>63</v>
      </c>
      <c r="G6" s="5" t="s">
        <v>63</v>
      </c>
      <c r="H6" s="5" t="s">
        <v>63</v>
      </c>
      <c r="I6" s="5" t="s">
        <v>63</v>
      </c>
      <c r="J6" s="5" t="s">
        <v>63</v>
      </c>
      <c r="K6" s="5" t="s">
        <v>63</v>
      </c>
      <c r="L6" s="5" t="s">
        <v>63</v>
      </c>
      <c r="M6" s="5" t="s">
        <v>63</v>
      </c>
      <c r="N6" s="5" t="s">
        <v>63</v>
      </c>
    </row>
    <row r="7" ht="14.5" spans="1:15">
      <c r="A7" s="4" t="s">
        <v>174</v>
      </c>
      <c r="B7" s="4" t="s">
        <v>171</v>
      </c>
      <c r="C7" s="4" t="s">
        <v>63</v>
      </c>
      <c r="D7" s="4" t="s">
        <v>172</v>
      </c>
      <c r="E7" s="4" t="s">
        <v>173</v>
      </c>
      <c r="F7" s="4" t="s">
        <v>63</v>
      </c>
      <c r="G7" s="4" t="s">
        <v>63</v>
      </c>
      <c r="H7" s="4" t="s">
        <v>63</v>
      </c>
      <c r="I7" s="4" t="s">
        <v>63</v>
      </c>
      <c r="J7" s="4" t="s">
        <v>63</v>
      </c>
      <c r="K7" s="4" t="s">
        <v>63</v>
      </c>
      <c r="L7" s="4" t="s">
        <v>63</v>
      </c>
      <c r="M7" s="4" t="s">
        <v>63</v>
      </c>
      <c r="N7" s="4" t="s">
        <v>63</v>
      </c>
    </row>
    <row r="8" ht="14.5" spans="1:15">
      <c r="A8" s="5" t="s">
        <v>175</v>
      </c>
      <c r="B8" s="5" t="s">
        <v>171</v>
      </c>
      <c r="C8" s="5" t="s">
        <v>63</v>
      </c>
      <c r="D8" s="5" t="s">
        <v>172</v>
      </c>
      <c r="E8" s="5" t="s">
        <v>173</v>
      </c>
      <c r="F8" s="5" t="s">
        <v>63</v>
      </c>
      <c r="G8" s="5" t="s">
        <v>63</v>
      </c>
      <c r="H8" s="5" t="s">
        <v>63</v>
      </c>
      <c r="I8" s="5" t="s">
        <v>63</v>
      </c>
      <c r="J8" s="5" t="s">
        <v>63</v>
      </c>
      <c r="K8" s="5" t="s">
        <v>63</v>
      </c>
      <c r="L8" s="5" t="s">
        <v>63</v>
      </c>
      <c r="M8" s="5" t="s">
        <v>63</v>
      </c>
      <c r="N8" s="5" t="s">
        <v>63</v>
      </c>
    </row>
    <row r="9" ht="14.5" spans="1:15">
      <c r="A9" s="4" t="s">
        <v>176</v>
      </c>
      <c r="B9" s="4" t="s">
        <v>177</v>
      </c>
      <c r="C9" s="4" t="s">
        <v>63</v>
      </c>
      <c r="D9" s="4" t="s">
        <v>134</v>
      </c>
      <c r="E9" s="4" t="s">
        <v>63</v>
      </c>
      <c r="F9" s="4" t="s">
        <v>63</v>
      </c>
      <c r="G9" s="4" t="s">
        <v>63</v>
      </c>
      <c r="H9" s="4" t="s">
        <v>63</v>
      </c>
      <c r="I9" s="4" t="s">
        <v>63</v>
      </c>
      <c r="J9" s="4" t="s">
        <v>63</v>
      </c>
      <c r="K9" s="4" t="s">
        <v>63</v>
      </c>
      <c r="L9" s="4" t="s">
        <v>63</v>
      </c>
      <c r="M9" s="4" t="s">
        <v>63</v>
      </c>
      <c r="N9" s="4" t="s">
        <v>63</v>
      </c>
      <c r="O9" t="s">
        <v>63</v>
      </c>
    </row>
    <row r="10" ht="43.5" spans="1:15">
      <c r="A10" s="5" t="s">
        <v>178</v>
      </c>
      <c r="B10" s="5" t="s">
        <v>179</v>
      </c>
      <c r="C10" s="5" t="s">
        <v>63</v>
      </c>
      <c r="D10" s="5" t="s">
        <v>134</v>
      </c>
      <c r="E10" s="5" t="s">
        <v>180</v>
      </c>
      <c r="F10" s="5" t="s">
        <v>63</v>
      </c>
      <c r="G10" s="5" t="s">
        <v>63</v>
      </c>
      <c r="H10" s="5" t="s">
        <v>63</v>
      </c>
      <c r="I10" s="5" t="s">
        <v>63</v>
      </c>
      <c r="J10" s="5" t="s">
        <v>63</v>
      </c>
      <c r="K10" s="5" t="s">
        <v>63</v>
      </c>
      <c r="L10" s="5" t="s">
        <v>63</v>
      </c>
      <c r="M10" s="5" t="s">
        <v>63</v>
      </c>
      <c r="N10" s="5" t="s">
        <v>63</v>
      </c>
    </row>
    <row r="11" ht="14.5" spans="1:15">
      <c r="A11" s="4" t="s">
        <v>181</v>
      </c>
      <c r="B11" s="4" t="s">
        <v>182</v>
      </c>
      <c r="C11" s="4" t="s">
        <v>63</v>
      </c>
      <c r="D11" s="4" t="s">
        <v>134</v>
      </c>
      <c r="E11" s="4" t="s">
        <v>183</v>
      </c>
      <c r="F11" s="4" t="s">
        <v>63</v>
      </c>
      <c r="G11" s="4" t="s">
        <v>63</v>
      </c>
      <c r="H11" s="4" t="s">
        <v>63</v>
      </c>
      <c r="I11" s="4" t="s">
        <v>63</v>
      </c>
      <c r="J11" s="4" t="s">
        <v>63</v>
      </c>
      <c r="K11" s="4" t="s">
        <v>63</v>
      </c>
      <c r="L11" s="4" t="s">
        <v>63</v>
      </c>
      <c r="M11" s="4" t="s">
        <v>63</v>
      </c>
      <c r="N11" s="4" t="s">
        <v>63</v>
      </c>
    </row>
    <row r="12" ht="14.5" spans="1:15">
      <c r="A12" s="5" t="s">
        <v>184</v>
      </c>
      <c r="B12" s="5" t="s">
        <v>182</v>
      </c>
      <c r="C12" s="5" t="s">
        <v>63</v>
      </c>
      <c r="D12" s="5" t="s">
        <v>134</v>
      </c>
      <c r="E12" s="5" t="s">
        <v>183</v>
      </c>
      <c r="F12" s="5" t="s">
        <v>63</v>
      </c>
      <c r="G12" s="5" t="s">
        <v>63</v>
      </c>
      <c r="H12" s="5" t="s">
        <v>63</v>
      </c>
      <c r="I12" s="5" t="s">
        <v>63</v>
      </c>
      <c r="J12" s="5" t="s">
        <v>63</v>
      </c>
      <c r="K12" s="5" t="s">
        <v>63</v>
      </c>
      <c r="L12" s="5" t="s">
        <v>63</v>
      </c>
      <c r="M12" s="5" t="s">
        <v>63</v>
      </c>
      <c r="N12" s="5"/>
    </row>
    <row r="15" ht="16.5" spans="1:15">
      <c r="A15" s="2" t="s">
        <v>185</v>
      </c>
    </row>
    <row r="16" ht="34" customHeight="1" spans="1:15">
      <c r="A16" s="3" t="s">
        <v>186</v>
      </c>
      <c r="B16" s="3" t="s">
        <v>187</v>
      </c>
      <c r="C16" s="3" t="s">
        <v>188</v>
      </c>
      <c r="D16" s="3" t="s">
        <v>189</v>
      </c>
      <c r="E16" s="3" t="s">
        <v>190</v>
      </c>
      <c r="F16" s="3" t="s">
        <v>191</v>
      </c>
      <c r="G16" s="3" t="s">
        <v>192</v>
      </c>
      <c r="H16" s="3" t="s">
        <v>193</v>
      </c>
      <c r="I16" s="3" t="s">
        <v>194</v>
      </c>
      <c r="J16" s="3" t="s">
        <v>195</v>
      </c>
      <c r="K16" s="3" t="s">
        <v>196</v>
      </c>
      <c r="L16" s="3" t="s">
        <v>197</v>
      </c>
      <c r="M16" s="3" t="s">
        <v>198</v>
      </c>
      <c r="N16" s="3" t="s">
        <v>58</v>
      </c>
    </row>
    <row r="17" ht="14.5" spans="1:14">
      <c r="A17" s="4" t="s">
        <v>199</v>
      </c>
      <c r="B17" s="4" t="s">
        <v>63</v>
      </c>
      <c r="C17" s="4" t="s">
        <v>63</v>
      </c>
      <c r="D17" s="4" t="s">
        <v>63</v>
      </c>
      <c r="E17" s="4" t="s">
        <v>63</v>
      </c>
      <c r="F17" s="4" t="s">
        <v>63</v>
      </c>
      <c r="G17" s="4" t="s">
        <v>63</v>
      </c>
      <c r="H17" s="4" t="s">
        <v>63</v>
      </c>
      <c r="I17" s="4" t="s">
        <v>63</v>
      </c>
      <c r="J17" s="4" t="s">
        <v>63</v>
      </c>
      <c r="K17" s="4" t="s">
        <v>63</v>
      </c>
      <c r="L17" s="4" t="s">
        <v>63</v>
      </c>
      <c r="M17" s="4" t="s">
        <v>63</v>
      </c>
      <c r="N17" s="4" t="s">
        <v>63</v>
      </c>
    </row>
    <row r="18" ht="14.5" spans="1:14">
      <c r="A18" s="5" t="s">
        <v>200</v>
      </c>
      <c r="B18" s="5" t="s">
        <v>63</v>
      </c>
      <c r="C18" s="5" t="s">
        <v>63</v>
      </c>
      <c r="D18" s="5" t="s">
        <v>63</v>
      </c>
      <c r="E18" s="5" t="s">
        <v>63</v>
      </c>
      <c r="F18" s="5" t="s">
        <v>63</v>
      </c>
      <c r="G18" s="5" t="s">
        <v>63</v>
      </c>
      <c r="H18" s="5" t="s">
        <v>63</v>
      </c>
      <c r="I18" s="5" t="s">
        <v>63</v>
      </c>
      <c r="J18" s="5" t="s">
        <v>63</v>
      </c>
      <c r="K18" s="5" t="s">
        <v>63</v>
      </c>
      <c r="L18" s="5" t="s">
        <v>63</v>
      </c>
      <c r="M18" s="5" t="s">
        <v>63</v>
      </c>
      <c r="N18" s="5" t="s">
        <v>63</v>
      </c>
    </row>
    <row r="19" ht="14.5" spans="1:14">
      <c r="A19" s="4" t="s">
        <v>201</v>
      </c>
      <c r="B19" s="4" t="s">
        <v>63</v>
      </c>
      <c r="C19" s="4" t="s">
        <v>63</v>
      </c>
      <c r="D19" s="4" t="s">
        <v>63</v>
      </c>
      <c r="E19" s="4" t="s">
        <v>63</v>
      </c>
      <c r="F19" s="4" t="s">
        <v>63</v>
      </c>
      <c r="G19" s="4" t="s">
        <v>63</v>
      </c>
      <c r="H19" s="4" t="s">
        <v>63</v>
      </c>
      <c r="I19" s="4" t="s">
        <v>63</v>
      </c>
      <c r="J19" s="4" t="s">
        <v>63</v>
      </c>
      <c r="K19" s="4" t="s">
        <v>63</v>
      </c>
      <c r="L19" s="4" t="s">
        <v>63</v>
      </c>
      <c r="M19" s="4" t="s">
        <v>63</v>
      </c>
      <c r="N19" s="4" t="s">
        <v>63</v>
      </c>
    </row>
    <row r="20" ht="14.5" spans="1:14">
      <c r="A20" s="5" t="s">
        <v>202</v>
      </c>
      <c r="B20" s="5" t="s">
        <v>63</v>
      </c>
      <c r="C20" s="5" t="s">
        <v>63</v>
      </c>
      <c r="D20" s="5" t="s">
        <v>63</v>
      </c>
      <c r="E20" s="5" t="s">
        <v>63</v>
      </c>
      <c r="F20" s="5" t="s">
        <v>63</v>
      </c>
      <c r="G20" s="5" t="s">
        <v>63</v>
      </c>
      <c r="H20" s="5" t="s">
        <v>63</v>
      </c>
      <c r="I20" s="5" t="s">
        <v>63</v>
      </c>
      <c r="J20" s="5" t="s">
        <v>63</v>
      </c>
      <c r="K20" s="5" t="s">
        <v>63</v>
      </c>
      <c r="L20" s="5" t="s">
        <v>63</v>
      </c>
      <c r="M20" s="5" t="s">
        <v>63</v>
      </c>
      <c r="N20" s="5" t="s">
        <v>63</v>
      </c>
    </row>
    <row r="21" ht="14.5" spans="1:14">
      <c r="A21" s="4" t="s">
        <v>203</v>
      </c>
      <c r="B21" s="4" t="s">
        <v>63</v>
      </c>
      <c r="C21" s="4" t="s">
        <v>63</v>
      </c>
      <c r="D21" s="4" t="s">
        <v>63</v>
      </c>
      <c r="E21" s="4" t="s">
        <v>63</v>
      </c>
      <c r="F21" s="4" t="s">
        <v>63</v>
      </c>
      <c r="G21" s="4" t="s">
        <v>63</v>
      </c>
      <c r="H21" s="4" t="s">
        <v>63</v>
      </c>
      <c r="I21" s="4" t="s">
        <v>63</v>
      </c>
      <c r="J21" s="4" t="s">
        <v>63</v>
      </c>
      <c r="K21" s="4" t="s">
        <v>63</v>
      </c>
      <c r="L21" s="4" t="s">
        <v>63</v>
      </c>
      <c r="M21" s="4" t="s">
        <v>63</v>
      </c>
      <c r="N21" s="4" t="s">
        <v>63</v>
      </c>
    </row>
    <row r="22" ht="14.5" spans="1:14">
      <c r="A22" s="5" t="s">
        <v>204</v>
      </c>
      <c r="B22" s="5" t="s">
        <v>63</v>
      </c>
      <c r="C22" s="5" t="s">
        <v>63</v>
      </c>
      <c r="D22" s="5" t="s">
        <v>63</v>
      </c>
      <c r="E22" s="5" t="s">
        <v>63</v>
      </c>
      <c r="F22" s="5" t="s">
        <v>63</v>
      </c>
      <c r="G22" s="5" t="s">
        <v>63</v>
      </c>
      <c r="H22" s="5" t="s">
        <v>63</v>
      </c>
      <c r="I22" s="5" t="s">
        <v>63</v>
      </c>
      <c r="J22" s="5" t="s">
        <v>63</v>
      </c>
      <c r="K22" s="5" t="s">
        <v>63</v>
      </c>
      <c r="L22" s="5" t="s">
        <v>63</v>
      </c>
      <c r="M22" s="5" t="s">
        <v>63</v>
      </c>
      <c r="N22" s="5" t="s">
        <v>63</v>
      </c>
    </row>
    <row r="23" ht="14.5" spans="1:14">
      <c r="A23" s="4" t="s">
        <v>205</v>
      </c>
      <c r="B23" s="4" t="s">
        <v>63</v>
      </c>
      <c r="C23" s="4" t="s">
        <v>63</v>
      </c>
      <c r="D23" s="4" t="s">
        <v>63</v>
      </c>
      <c r="E23" s="4" t="s">
        <v>63</v>
      </c>
      <c r="F23" s="4" t="s">
        <v>63</v>
      </c>
      <c r="G23" s="4" t="s">
        <v>63</v>
      </c>
      <c r="H23" s="4" t="s">
        <v>63</v>
      </c>
      <c r="I23" s="4" t="s">
        <v>63</v>
      </c>
      <c r="J23" s="4" t="s">
        <v>63</v>
      </c>
      <c r="K23" s="4" t="s">
        <v>63</v>
      </c>
      <c r="L23" s="4" t="s">
        <v>63</v>
      </c>
      <c r="M23" s="4" t="s">
        <v>63</v>
      </c>
      <c r="N23" s="4" t="s">
        <v>63</v>
      </c>
    </row>
    <row r="24" ht="14.5" spans="1:14">
      <c r="A24" s="5" t="s">
        <v>206</v>
      </c>
      <c r="B24" s="5" t="s">
        <v>63</v>
      </c>
      <c r="C24" s="5" t="s">
        <v>63</v>
      </c>
      <c r="D24" s="5" t="s">
        <v>63</v>
      </c>
      <c r="E24" s="5" t="s">
        <v>63</v>
      </c>
      <c r="F24" s="5" t="s">
        <v>63</v>
      </c>
      <c r="G24" s="5" t="s">
        <v>63</v>
      </c>
      <c r="H24" s="5" t="s">
        <v>63</v>
      </c>
      <c r="I24" s="5" t="s">
        <v>63</v>
      </c>
      <c r="J24" s="5" t="s">
        <v>63</v>
      </c>
      <c r="K24" s="5" t="s">
        <v>63</v>
      </c>
      <c r="L24" s="5" t="s">
        <v>63</v>
      </c>
      <c r="M24" s="5" t="s">
        <v>63</v>
      </c>
      <c r="N24" s="5" t="s">
        <v>63</v>
      </c>
    </row>
  </sheetData>
  <autoFilter xmlns:etc="http://www.wps.cn/officeDocument/2017/etCustomData" ref="A16:N24" etc:filterBottomFollowUsedRange="0">
    <extLst/>
  </autoFilter>
  <mergeCells count="3">
    <mergeCell ref="A1:N1"/>
    <mergeCell ref="A3:N3"/>
    <mergeCell ref="A15:N15"/>
  </mergeCells>
  <pageMargins left="0.25" right="0.25" top="0.5" bottom="0.5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8" customWidth="1"/>
    <col min="2" max="2" width="44" customWidth="1"/>
    <col min="3" max="4" width="16" customWidth="1"/>
    <col min="5" max="5" width="18" customWidth="1"/>
    <col min="6" max="6" width="38" customWidth="1"/>
  </cols>
  <sheetData>
    <row r="1" ht="28" customHeight="1" spans="1:6">
      <c r="A1" s="1" t="s">
        <v>207</v>
      </c>
    </row>
    <row r="3" ht="16.5" spans="1:6">
      <c r="A3" s="2" t="s">
        <v>208</v>
      </c>
    </row>
    <row r="4" ht="34" customHeight="1" spans="1:6">
      <c r="A4" s="3" t="s">
        <v>209</v>
      </c>
      <c r="B4" s="3" t="s">
        <v>210</v>
      </c>
      <c r="C4" s="3" t="s">
        <v>211</v>
      </c>
      <c r="D4" s="3" t="s">
        <v>129</v>
      </c>
      <c r="E4" s="3" t="s">
        <v>212</v>
      </c>
      <c r="F4" s="3" t="s">
        <v>166</v>
      </c>
    </row>
    <row r="5" ht="14.5" spans="1:6">
      <c r="A5" s="4" t="s">
        <v>213</v>
      </c>
      <c r="B5" s="4" t="s">
        <v>214</v>
      </c>
      <c r="C5" s="4">
        <f>IF(COUNT(关节参数!E4:G4)&lt;3,"",SQRT(SUMSQ(关节参数!E4:G4)))</f>
        <v>1</v>
      </c>
      <c r="D5" s="4" t="s">
        <v>172</v>
      </c>
      <c r="E5" s="4" t="s">
        <v>215</v>
      </c>
      <c r="F5" s="4" t="s">
        <v>216</v>
      </c>
    </row>
    <row r="6" ht="14.5" spans="1:6">
      <c r="A6" s="5" t="s">
        <v>217</v>
      </c>
      <c r="B6" s="5" t="s">
        <v>214</v>
      </c>
      <c r="C6" s="5">
        <f>IF(COUNT(关节参数!E5:G5)&lt;3,"",SQRT(SUMSQ(关节参数!E5:G5)))</f>
        <v>1</v>
      </c>
      <c r="D6" s="5" t="s">
        <v>172</v>
      </c>
      <c r="E6" s="5" t="s">
        <v>215</v>
      </c>
      <c r="F6" s="5" t="s">
        <v>216</v>
      </c>
    </row>
    <row r="7" ht="14.5" spans="1:6">
      <c r="A7" s="4" t="s">
        <v>218</v>
      </c>
      <c r="B7" s="4" t="s">
        <v>214</v>
      </c>
      <c r="C7" s="4">
        <f>IF(COUNT(关节参数!E6:G6)&lt;3,"",SQRT(SUMSQ(关节参数!E6:G6)))</f>
        <v>1</v>
      </c>
      <c r="D7" s="4" t="s">
        <v>172</v>
      </c>
      <c r="E7" s="4" t="s">
        <v>215</v>
      </c>
      <c r="F7" s="4" t="s">
        <v>216</v>
      </c>
    </row>
    <row r="8" ht="14.5" spans="1:6">
      <c r="A8" s="5" t="s">
        <v>219</v>
      </c>
      <c r="B8" s="5" t="s">
        <v>214</v>
      </c>
      <c r="C8" s="5">
        <f>IF(COUNT(关节参数!E7:G7)&lt;3,"",SQRT(SUMSQ(关节参数!E7:G7)))</f>
        <v>1</v>
      </c>
      <c r="D8" s="5" t="s">
        <v>172</v>
      </c>
      <c r="E8" s="5" t="s">
        <v>215</v>
      </c>
      <c r="F8" s="5" t="s">
        <v>216</v>
      </c>
    </row>
    <row r="9" ht="14.5" spans="1:6">
      <c r="A9" s="4" t="s">
        <v>220</v>
      </c>
      <c r="B9" s="4" t="s">
        <v>214</v>
      </c>
      <c r="C9" s="4">
        <f>IF(COUNT(关节参数!E8:G8)&lt;3,"",SQRT(SUMSQ(关节参数!E8:G8)))</f>
        <v>1</v>
      </c>
      <c r="D9" s="4" t="s">
        <v>172</v>
      </c>
      <c r="E9" s="4" t="s">
        <v>215</v>
      </c>
      <c r="F9" s="4" t="s">
        <v>216</v>
      </c>
    </row>
    <row r="10" ht="14.5" spans="1:6">
      <c r="A10" s="5" t="s">
        <v>221</v>
      </c>
      <c r="B10" s="5" t="s">
        <v>222</v>
      </c>
      <c r="C10" s="5">
        <f>IF(COUNT(关节参数!E5:F5)&lt;2,"",SQRT(SUMSQ(关节参数!E5:F5)))</f>
        <v>0</v>
      </c>
      <c r="D10" s="5" t="s">
        <v>172</v>
      </c>
      <c r="E10" s="5" t="s">
        <v>223</v>
      </c>
      <c r="F10" s="5" t="s">
        <v>224</v>
      </c>
    </row>
    <row r="11" ht="14.5" spans="1:6">
      <c r="A11" s="4" t="s">
        <v>225</v>
      </c>
      <c r="B11" s="4" t="s">
        <v>222</v>
      </c>
      <c r="C11" s="4">
        <f>IF(COUNT(关节参数!E6:F6)&lt;2,"",SQRT(SUMSQ(关节参数!E6:F6)))</f>
        <v>0</v>
      </c>
      <c r="D11" s="4" t="s">
        <v>172</v>
      </c>
      <c r="E11" s="4" t="s">
        <v>223</v>
      </c>
      <c r="F11" s="4" t="s">
        <v>226</v>
      </c>
    </row>
    <row r="12" ht="14.5" spans="1:6">
      <c r="A12" s="5" t="s">
        <v>227</v>
      </c>
      <c r="B12" s="5" t="s">
        <v>222</v>
      </c>
      <c r="C12" s="5">
        <f>IF(COUNT(关节参数!E7:F7)&lt;2,"",SQRT(SUMSQ(关节参数!E7:F7)))</f>
        <v>0</v>
      </c>
      <c r="D12" s="5" t="s">
        <v>172</v>
      </c>
      <c r="E12" s="5" t="s">
        <v>223</v>
      </c>
      <c r="F12" s="5" t="s">
        <v>228</v>
      </c>
    </row>
    <row r="13" ht="14.5" spans="1:6">
      <c r="A13" s="4" t="s">
        <v>229</v>
      </c>
      <c r="B13" s="4" t="s">
        <v>230</v>
      </c>
      <c r="C13" s="4">
        <f>IF(COUNT(关节参数!G8)&lt;1,"",ABS(关节参数!G8))</f>
        <v>0</v>
      </c>
      <c r="D13" s="4" t="s">
        <v>172</v>
      </c>
      <c r="E13" s="4" t="s">
        <v>223</v>
      </c>
      <c r="F13" s="4" t="s">
        <v>231</v>
      </c>
    </row>
    <row r="14" ht="14.5" spans="1:6">
      <c r="A14" s="5" t="s">
        <v>232</v>
      </c>
      <c r="B14" s="5" t="s">
        <v>233</v>
      </c>
      <c r="C14" s="5" t="str">
        <f>几何参数!D17</f>
        <v/>
      </c>
      <c r="D14" s="5" t="s">
        <v>134</v>
      </c>
      <c r="E14" s="5" t="s">
        <v>234</v>
      </c>
      <c r="F14" s="5" t="s">
        <v>235</v>
      </c>
    </row>
    <row r="15" ht="14.5" spans="1:6">
      <c r="A15" s="4" t="s">
        <v>236</v>
      </c>
      <c r="B15" s="4" t="s">
        <v>237</v>
      </c>
      <c r="C15" s="4" t="str">
        <f>几何参数!D18</f>
        <v/>
      </c>
      <c r="D15" s="4" t="s">
        <v>134</v>
      </c>
      <c r="E15" s="4" t="s">
        <v>234</v>
      </c>
      <c r="F15" s="4" t="s">
        <v>238</v>
      </c>
    </row>
    <row r="16" ht="14.5" spans="1:6">
      <c r="A16" s="5" t="s">
        <v>239</v>
      </c>
      <c r="B16" s="5" t="s">
        <v>240</v>
      </c>
      <c r="C16" s="5" t="str">
        <f>几何参数!D19</f>
        <v/>
      </c>
      <c r="D16" s="5" t="s">
        <v>134</v>
      </c>
      <c r="E16" s="5" t="s">
        <v>241</v>
      </c>
      <c r="F16" s="5" t="s">
        <v>242</v>
      </c>
    </row>
  </sheetData>
  <autoFilter xmlns:etc="http://www.wps.cn/officeDocument/2017/etCustomData" ref="A4:F16" etc:filterBottomFollowUsedRange="0">
    <extLst/>
  </autoFilter>
  <mergeCells count="2">
    <mergeCell ref="A1:F1"/>
    <mergeCell ref="A3:F3"/>
  </mergeCells>
  <pageMargins left="0.25" right="0.25" top="0.5" bottom="0.5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填写说明</vt:lpstr>
      <vt:lpstr>关节参数</vt:lpstr>
      <vt:lpstr>几何参数</vt:lpstr>
      <vt:lpstr>导轨与夹具</vt:lpstr>
      <vt:lpstr>校核计算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Sui</cp:lastModifiedBy>
  <dcterms:created xsi:type="dcterms:W3CDTF">2026-08-26T13:11:00Z</dcterms:created>
  <dcterms:modified xsi:type="dcterms:W3CDTF">2026-08-26T13:14:47Z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E12E34EF6E7F47AA9CD046D3DDBA54EF_12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